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И_Справочник" sheetId="1" state="visible" r:id="rId1"/>
    <sheet xmlns:r="http://schemas.openxmlformats.org/officeDocument/2006/relationships" name="Данные_отбора" sheetId="2" state="visible" r:id="rId2"/>
    <sheet xmlns:r="http://schemas.openxmlformats.org/officeDocument/2006/relationships" name="Расчёт" sheetId="3" state="visible" r:id="rId3"/>
    <sheet xmlns:r="http://schemas.openxmlformats.org/officeDocument/2006/relationships" name="Итог_в_протоко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b val="1"/>
      <sz val="10"/>
    </font>
    <font>
      <name val="Arial"/>
      <sz val="10"/>
    </font>
    <font>
      <name val="Arial"/>
      <i val="1"/>
      <color rgb="00808080"/>
      <sz val="8"/>
    </font>
    <font>
      <name val="Arial"/>
      <i val="1"/>
      <color rgb="00595959"/>
      <sz val="10"/>
    </font>
    <font>
      <name val="Arial"/>
      <b val="1"/>
      <color rgb="00375623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5E8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 wrapText="1"/>
    </xf>
    <xf numFmtId="165" fontId="6" fillId="6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 vertical="center" wrapText="1"/>
    </xf>
    <xf numFmtId="1" fontId="2" fillId="5" borderId="1" applyAlignment="1" pivotButton="0" quotePrefix="0" xfId="0">
      <alignment horizontal="center" vertical="center" wrapText="1"/>
    </xf>
    <xf numFmtId="166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5" fontId="2" fillId="5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  <xf numFmtId="2" fontId="6" fillId="6" borderId="1" applyAlignment="1" pivotButton="0" quotePrefix="0" xfId="0">
      <alignment horizontal="center" vertical="center" wrapText="1"/>
    </xf>
    <xf numFmtId="166" fontId="6" fillId="6" borderId="1" applyAlignment="1" pivotButton="0" quotePrefix="0" xfId="0">
      <alignment horizontal="center" vertical="center" wrapText="1"/>
    </xf>
    <xf numFmtId="1" fontId="6" fillId="6" borderId="1" applyAlignment="1" pivotButton="0" quotePrefix="0" xfId="0">
      <alignment horizontal="center" vertical="center" wrapText="1"/>
    </xf>
    <xf numFmtId="165" fontId="7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40" customWidth="1" min="4" max="4"/>
  </cols>
  <sheetData>
    <row r="1" ht="24" customHeight="1">
      <c r="A1" s="1" t="inlineStr">
        <is>
          <t>Справочник СИ — калибровочные коэффициенты и погрешности</t>
        </is>
      </c>
    </row>
    <row r="3">
      <c r="A3" s="2" t="inlineStr">
        <is>
          <t>Напорные трубки (измерение динамического давления потока)</t>
        </is>
      </c>
    </row>
    <row r="4">
      <c r="A4" s="3" t="inlineStr">
        <is>
          <t>Модель / зав. номер</t>
        </is>
      </c>
      <c r="B4" s="3" t="inlineStr">
        <is>
          <t>Коэфф. K_тр</t>
        </is>
      </c>
      <c r="C4" s="3" t="inlineStr">
        <is>
          <t>Погрешн. K_тр, %</t>
        </is>
      </c>
      <c r="D4" s="3" t="inlineStr">
        <is>
          <t>Примечание</t>
        </is>
      </c>
    </row>
    <row r="5">
      <c r="A5" s="4" t="inlineStr">
        <is>
          <t>НИИОГАЗ 1001</t>
        </is>
      </c>
      <c r="B5" s="5" t="n">
        <v>0.543</v>
      </c>
      <c r="C5" s="6" t="n">
        <v>1.83</v>
      </c>
      <c r="D5" s="7" t="inlineStr">
        <is>
          <t>Прямой канал, калибр. 2024</t>
        </is>
      </c>
    </row>
    <row r="6">
      <c r="A6" s="4" t="inlineStr">
        <is>
          <t>НИИОГАЗ 1002</t>
        </is>
      </c>
      <c r="B6" s="5" t="n">
        <v>0.538</v>
      </c>
      <c r="C6" s="6" t="n">
        <v>1.94</v>
      </c>
      <c r="D6" s="7" t="inlineStr">
        <is>
          <t>Прямой канал, калибр. 2024</t>
        </is>
      </c>
    </row>
    <row r="7">
      <c r="A7" s="4" t="inlineStr">
        <is>
          <t>НИИОГАЗ 1003</t>
        </is>
      </c>
      <c r="B7" s="5" t="n">
        <v>0.521</v>
      </c>
      <c r="C7" s="6" t="n">
        <v>2.55</v>
      </c>
      <c r="D7" s="7" t="inlineStr">
        <is>
          <t>Прямой канал, калибр. 2024</t>
        </is>
      </c>
    </row>
    <row r="8">
      <c r="A8" s="4" t="inlineStr">
        <is>
          <t>ПИТО 2001</t>
        </is>
      </c>
      <c r="B8" s="5" t="n">
        <v>0.993</v>
      </c>
      <c r="C8" s="6" t="n">
        <v>1.63</v>
      </c>
      <c r="D8" s="7" t="inlineStr">
        <is>
          <t>Трубка Пито, калибр. 2024</t>
        </is>
      </c>
    </row>
    <row r="11">
      <c r="A11" s="2" t="inlineStr">
        <is>
          <t>Прочие СИ — относительные погрешности</t>
        </is>
      </c>
    </row>
    <row r="12">
      <c r="A12" s="3" t="inlineStr">
        <is>
          <t>Группа</t>
        </is>
      </c>
      <c r="B12" s="3" t="inlineStr">
        <is>
          <t>Модель</t>
        </is>
      </c>
      <c r="C12" s="3" t="inlineStr">
        <is>
          <t>δ, %</t>
        </is>
      </c>
      <c r="D12" s="3" t="inlineStr">
        <is>
          <t>Диапазон</t>
        </is>
      </c>
    </row>
    <row r="13">
      <c r="A13" s="4" t="inlineStr">
        <is>
          <t>Давление атм.</t>
        </is>
      </c>
      <c r="B13" s="4" t="inlineStr">
        <is>
          <t>Метеоскоп-М</t>
        </is>
      </c>
      <c r="C13" s="5" t="n">
        <v>0.14</v>
      </c>
      <c r="D13" s="7" t="inlineStr">
        <is>
          <t>84–106 кПа</t>
        </is>
      </c>
    </row>
    <row r="14">
      <c r="A14" s="4" t="inlineStr">
        <is>
          <t>Давление динамич.</t>
        </is>
      </c>
      <c r="B14" s="4" t="inlineStr">
        <is>
          <t>ДМЦ-01М</t>
        </is>
      </c>
      <c r="C14" s="5" t="n">
        <v>1.5</v>
      </c>
      <c r="D14" s="7" t="inlineStr">
        <is>
          <t>до 2000 Па</t>
        </is>
      </c>
    </row>
    <row r="15">
      <c r="A15" s="4" t="inlineStr">
        <is>
          <t>Температура</t>
        </is>
      </c>
      <c r="B15" s="4" t="inlineStr">
        <is>
          <t>ТК-5.06</t>
        </is>
      </c>
      <c r="C15" s="5" t="n">
        <v>2</v>
      </c>
      <c r="D15" s="7" t="inlineStr">
        <is>
          <t>−30…+250 °C</t>
        </is>
      </c>
    </row>
    <row r="16">
      <c r="A16" s="4" t="inlineStr">
        <is>
          <t>Температура</t>
        </is>
      </c>
      <c r="B16" s="4" t="inlineStr">
        <is>
          <t>Полар Ex-T</t>
        </is>
      </c>
      <c r="C16" s="5" t="n">
        <v>2</v>
      </c>
      <c r="D16" s="7" t="inlineStr">
        <is>
          <t>−20…+800 °C</t>
        </is>
      </c>
    </row>
    <row r="17">
      <c r="A17" s="4" t="inlineStr">
        <is>
          <t>Разрежение</t>
        </is>
      </c>
      <c r="B17" s="4" t="inlineStr">
        <is>
          <t>ВП-63</t>
        </is>
      </c>
      <c r="C17" s="5" t="n">
        <v>1.5</v>
      </c>
      <c r="D17" s="7" t="inlineStr">
        <is>
          <t>0–100 кПа</t>
        </is>
      </c>
    </row>
    <row r="18">
      <c r="A18" s="4" t="inlineStr">
        <is>
          <t>Влажность отн.</t>
        </is>
      </c>
      <c r="B18" s="4" t="inlineStr">
        <is>
          <t>ТК-5.06</t>
        </is>
      </c>
      <c r="C18" s="5" t="n">
        <v>3</v>
      </c>
      <c r="D18" s="7" t="inlineStr">
        <is>
          <t>20–95 %</t>
        </is>
      </c>
    </row>
    <row r="19">
      <c r="A19" s="4" t="inlineStr">
        <is>
          <t>Ротаметр</t>
        </is>
      </c>
      <c r="B19" s="4" t="inlineStr">
        <is>
          <t>Аппарат РО-6</t>
        </is>
      </c>
      <c r="C19" s="5" t="n">
        <v>1</v>
      </c>
      <c r="D19" s="7" t="inlineStr">
        <is>
          <t>0.5–25 л/мин</t>
        </is>
      </c>
    </row>
    <row r="20">
      <c r="A20" s="4" t="inlineStr">
        <is>
          <t>Весы</t>
        </is>
      </c>
      <c r="B20" s="4" t="inlineStr">
        <is>
          <t>GH-252</t>
        </is>
      </c>
      <c r="C20" s="5" t="n">
        <v>0.0001</v>
      </c>
      <c r="D20" s="7" t="inlineStr">
        <is>
          <t>разреш. 0.1 мг</t>
        </is>
      </c>
    </row>
    <row r="23">
      <c r="A23" s="2" t="inlineStr">
        <is>
          <t>Цветовая легенда</t>
        </is>
      </c>
    </row>
    <row r="24">
      <c r="A24" s="8" t="inlineStr"/>
      <c r="B24" s="9" t="inlineStr">
        <is>
          <t>Жёлтое — вводится вручную с планшета / журнала отбора</t>
        </is>
      </c>
    </row>
    <row r="25">
      <c r="A25" s="10" t="inlineStr"/>
      <c r="B25" s="9" t="inlineStr">
        <is>
          <t>Зелёное — справочный коэффициент (неизменяемый)</t>
        </is>
      </c>
    </row>
    <row r="26">
      <c r="A26" s="11" t="inlineStr"/>
      <c r="B26" s="9" t="inlineStr">
        <is>
          <t>Оранжевое — промежуточный расчёт</t>
        </is>
      </c>
    </row>
    <row r="27">
      <c r="A27" s="12" t="inlineStr"/>
      <c r="B27" s="9" t="inlineStr">
        <is>
          <t>Ярко-зелёное — итоговый результат для протокола</t>
        </is>
      </c>
    </row>
  </sheetData>
  <mergeCells count="8">
    <mergeCell ref="A1:D1"/>
    <mergeCell ref="A23:D23"/>
    <mergeCell ref="A3:D3"/>
    <mergeCell ref="B26:D26"/>
    <mergeCell ref="B27:D27"/>
    <mergeCell ref="A11:D11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4" customHeight="1">
      <c r="A1" s="1" t="inlineStr">
        <is>
          <t>Данные отбора проб — ИЗАВ 0001, труба сушильной печи №1</t>
        </is>
      </c>
    </row>
    <row r="3">
      <c r="A3" s="13" t="inlineStr">
        <is>
          <t>Объект</t>
        </is>
      </c>
      <c r="B3" s="14" t="inlineStr">
        <is>
          <t>АО «Пример Инжиниринг» — демо-данные для портфолио</t>
        </is>
      </c>
    </row>
    <row r="4">
      <c r="A4" s="13" t="inlineStr">
        <is>
          <t>Место отбора</t>
        </is>
      </c>
      <c r="B4" s="14" t="inlineStr">
        <is>
          <t>ИЗАВ 0001 · Труба сушильной печи №1 · круглый газоход</t>
        </is>
      </c>
    </row>
    <row r="5">
      <c r="A5" s="13" t="inlineStr">
        <is>
          <t>Дата / время отбора</t>
        </is>
      </c>
      <c r="B5" s="14" t="inlineStr">
        <is>
          <t>20.04.2026  09:42–10:18</t>
        </is>
      </c>
      <c r="E5" s="13" t="inlineStr">
        <is>
          <t>Пробы</t>
        </is>
      </c>
      <c r="F5" s="14" t="inlineStr">
        <is>
          <t>0001пв – 0006пв</t>
        </is>
      </c>
    </row>
    <row r="7">
      <c r="A7" s="2" t="inlineStr">
        <is>
          <t>Геометрия газохода (вводится на месте, с планшета)</t>
        </is>
      </c>
    </row>
    <row r="8">
      <c r="A8" s="9" t="inlineStr">
        <is>
          <t>Диаметр газохода d, м</t>
        </is>
      </c>
      <c r="B8" s="15" t="n">
        <v>0.25</v>
      </c>
    </row>
    <row r="9">
      <c r="A9" s="9" t="inlineStr">
        <is>
          <t>Эквивалентный диаметр De, м</t>
        </is>
      </c>
      <c r="B9" s="15" t="n">
        <v>0.25</v>
      </c>
    </row>
    <row r="10">
      <c r="A10" s="9" t="inlineStr">
        <is>
          <t>Площадь сечения S, м² (=π·De²/4)</t>
        </is>
      </c>
      <c r="B10" s="16">
        <f>PI()*B9^2/4</f>
        <v/>
      </c>
    </row>
    <row r="11">
      <c r="A11" s="9" t="inlineStr">
        <is>
          <t>Длина прямолинейного участка L, м</t>
        </is>
      </c>
      <c r="B11" s="17" t="n">
        <v>3.2</v>
      </c>
    </row>
    <row r="12">
      <c r="A12" s="9" t="inlineStr">
        <is>
          <t>Толщина стенки b, м</t>
        </is>
      </c>
      <c r="B12" s="15" t="n">
        <v>0.005</v>
      </c>
    </row>
    <row r="14">
      <c r="A14" s="2" t="inlineStr">
        <is>
          <t>Условия окружающей среды</t>
        </is>
      </c>
    </row>
    <row r="15">
      <c r="A15" s="9" t="inlineStr">
        <is>
          <t>Атмосферное давление Б, мм рт.ст.</t>
        </is>
      </c>
      <c r="B15" s="18" t="n">
        <v>745</v>
      </c>
    </row>
    <row r="16">
      <c r="A16" s="9" t="inlineStr">
        <is>
          <t>Температура в точке отбора t_р, °C</t>
        </is>
      </c>
      <c r="B16" s="18" t="n">
        <v>12</v>
      </c>
    </row>
    <row r="17">
      <c r="A17" s="9" t="inlineStr">
        <is>
          <t>Относит. влажность воздуха, %</t>
        </is>
      </c>
      <c r="B17" s="18" t="n">
        <v>52</v>
      </c>
    </row>
    <row r="18">
      <c r="A18" s="9" t="inlineStr">
        <is>
          <t>Разрежение у ротаметра P_р, кПа</t>
        </is>
      </c>
      <c r="B18" s="19" t="n">
        <v>-10</v>
      </c>
    </row>
    <row r="20">
      <c r="A20" s="2" t="inlineStr">
        <is>
          <t>Параметры газопылевого потока (с приборов в точке отбора)</t>
        </is>
      </c>
    </row>
    <row r="21">
      <c r="A21" s="9" t="inlineStr">
        <is>
          <t>СИ напорной трубки</t>
        </is>
      </c>
      <c r="B21" s="20" t="inlineStr">
        <is>
          <t>НИИОГАЗ 1001</t>
        </is>
      </c>
    </row>
    <row r="22">
      <c r="A22" s="9" t="inlineStr">
        <is>
          <t>Динамическое давление P_д, Па</t>
        </is>
      </c>
      <c r="B22" s="19" t="n">
        <v>108.3</v>
      </c>
    </row>
    <row r="23">
      <c r="A23" s="9" t="inlineStr">
        <is>
          <t>Статическое давление P_ст, Па</t>
        </is>
      </c>
      <c r="B23" s="19" t="n">
        <v>66.09999999999999</v>
      </c>
    </row>
    <row r="24">
      <c r="A24" s="9" t="inlineStr">
        <is>
          <t>Температура газа t_г, °C</t>
        </is>
      </c>
      <c r="B24" s="19" t="n">
        <v>52.3</v>
      </c>
    </row>
    <row r="25">
      <c r="A25" s="9" t="inlineStr">
        <is>
          <t>Относительная влажность потока, %</t>
        </is>
      </c>
      <c r="B25" s="17" t="n">
        <v>6.2</v>
      </c>
    </row>
    <row r="27">
      <c r="A27" s="2" t="inlineStr">
        <is>
          <t>Данные отбора пыли (патрон АФА, сепаратор)</t>
        </is>
      </c>
    </row>
    <row r="28">
      <c r="A28" s="9" t="inlineStr">
        <is>
          <t>Диаметр носика d_н, мм</t>
        </is>
      </c>
      <c r="B28" s="17" t="n">
        <v>6.15</v>
      </c>
    </row>
    <row r="29">
      <c r="A29" s="9" t="inlineStr">
        <is>
          <t>Время отбора τ, мин</t>
        </is>
      </c>
      <c r="B29" s="18" t="n">
        <v>10</v>
      </c>
    </row>
    <row r="30">
      <c r="A30" s="9" t="inlineStr">
        <is>
          <t>Масса патрона до, m₀, г</t>
        </is>
      </c>
      <c r="B30" s="21" t="n">
        <v>7.4986</v>
      </c>
    </row>
    <row r="31">
      <c r="A31" s="9" t="inlineStr">
        <is>
          <t>Масса патрона после, m₁, г</t>
        </is>
      </c>
      <c r="B31" s="21" t="n">
        <v>7.5037</v>
      </c>
    </row>
    <row r="32">
      <c r="A32" s="9" t="inlineStr">
        <is>
          <t>Скорость отбора по ротаметру W_р, л/мин</t>
        </is>
      </c>
      <c r="B32" s="18" t="n">
        <v>17</v>
      </c>
    </row>
    <row r="34">
      <c r="A34" s="2" t="inlineStr">
        <is>
          <t>Концентрации газов (газоанализатор, канал «Низкие»)</t>
        </is>
      </c>
    </row>
    <row r="35">
      <c r="A35" s="9" t="inlineStr">
        <is>
          <t>CO, мг/м³</t>
        </is>
      </c>
      <c r="B35" s="18" t="n">
        <v>125</v>
      </c>
    </row>
    <row r="36">
      <c r="A36" s="9" t="inlineStr">
        <is>
          <t>NOx, мг/м³</t>
        </is>
      </c>
      <c r="B36" s="18" t="n">
        <v>82</v>
      </c>
    </row>
    <row r="37">
      <c r="A37" s="9" t="inlineStr">
        <is>
          <t>NO, мг/м³</t>
        </is>
      </c>
      <c r="B37" s="18" t="n">
        <v>56</v>
      </c>
    </row>
    <row r="38">
      <c r="A38" s="9" t="inlineStr">
        <is>
          <t>NO₂, мг/м³</t>
        </is>
      </c>
      <c r="B38" s="18" t="n">
        <v>26</v>
      </c>
    </row>
    <row r="39">
      <c r="A39" s="9" t="inlineStr">
        <is>
          <t>SO₂, мг/м³</t>
        </is>
      </c>
      <c r="B39" s="18" t="n">
        <v>68</v>
      </c>
    </row>
    <row r="41">
      <c r="A41" s="2" t="inlineStr">
        <is>
          <t>Исполнители</t>
        </is>
      </c>
    </row>
    <row r="42">
      <c r="A42" s="9" t="inlineStr">
        <is>
          <t>Пробоотборщик</t>
        </is>
      </c>
      <c r="B42" s="14" t="inlineStr">
        <is>
          <t>инженер-лаборант (подпись)</t>
        </is>
      </c>
    </row>
    <row r="43">
      <c r="A43" s="9" t="inlineStr">
        <is>
          <t>Аналитик</t>
        </is>
      </c>
      <c r="B43" s="14" t="inlineStr">
        <is>
          <t>инженер-химик (подпись)</t>
        </is>
      </c>
    </row>
  </sheetData>
  <mergeCells count="13">
    <mergeCell ref="B5:D5"/>
    <mergeCell ref="F5:H5"/>
    <mergeCell ref="B42:H42"/>
    <mergeCell ref="A7:H7"/>
    <mergeCell ref="A20:H20"/>
    <mergeCell ref="B4:H4"/>
    <mergeCell ref="B43:H43"/>
    <mergeCell ref="A41:H41"/>
    <mergeCell ref="A14:H14"/>
    <mergeCell ref="A1:H1"/>
    <mergeCell ref="B3:H3"/>
    <mergeCell ref="A27:H27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3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4" customHeight="1">
      <c r="A1" s="1" t="inlineStr">
        <is>
          <t>Расчёт параметров газопылевого потока и массового выброса</t>
        </is>
      </c>
    </row>
    <row r="3">
      <c r="A3" s="2" t="inlineStr">
        <is>
          <t>1. Калибровочные коэффициенты (подтянуты из справочника по модели СИ)</t>
        </is>
      </c>
    </row>
    <row r="4">
      <c r="A4" s="9" t="inlineStr">
        <is>
          <t>Модель напорной трубки</t>
        </is>
      </c>
      <c r="B4" s="20">
        <f>Данные_отбора!B21</f>
        <v/>
      </c>
    </row>
    <row r="5">
      <c r="A5" s="9" t="inlineStr">
        <is>
          <t>K_тр (коэфф. трубки)</t>
        </is>
      </c>
      <c r="B5" s="22">
        <f>VLOOKUP(B4,СИ_Справочник!A5:C8,2,FALSE)</f>
        <v/>
      </c>
    </row>
    <row r="6">
      <c r="A6" s="9" t="inlineStr">
        <is>
          <t>δK_тр, %</t>
        </is>
      </c>
      <c r="B6" s="23">
        <f>VLOOKUP(B4,СИ_Справочник!A5:C8,3,FALSE)</f>
        <v/>
      </c>
    </row>
    <row r="8">
      <c r="A8" s="2" t="inlineStr">
        <is>
          <t>2. Исходные данные (ссылки на лист «Данные_отбора»)</t>
        </is>
      </c>
    </row>
    <row r="9">
      <c r="A9" s="9" t="inlineStr">
        <is>
          <t>P_д — динамическое давление, Па</t>
        </is>
      </c>
      <c r="B9" s="24">
        <f>Данные_отбора!B22</f>
        <v/>
      </c>
    </row>
    <row r="10">
      <c r="A10" s="9" t="inlineStr">
        <is>
          <t>P_ст — статическое давление, Па</t>
        </is>
      </c>
      <c r="B10" s="24">
        <f>Данные_отбора!B23</f>
        <v/>
      </c>
    </row>
    <row r="11">
      <c r="A11" s="9" t="inlineStr">
        <is>
          <t>t_г — температура газа, °C</t>
        </is>
      </c>
      <c r="B11" s="24">
        <f>Данные_отбора!B24</f>
        <v/>
      </c>
    </row>
    <row r="12">
      <c r="A12" s="9" t="inlineStr">
        <is>
          <t>Б — атм. давление, мм рт.ст.</t>
        </is>
      </c>
      <c r="B12" s="25">
        <f>Данные_отбора!B15</f>
        <v/>
      </c>
    </row>
    <row r="13">
      <c r="A13" s="9" t="inlineStr">
        <is>
          <t>S — площадь сечения, м²</t>
        </is>
      </c>
      <c r="B13" s="16">
        <f>Данные_отбора!B10</f>
        <v/>
      </c>
    </row>
    <row r="14">
      <c r="A14" s="9" t="inlineStr">
        <is>
          <t>τ — время отбора, мин</t>
        </is>
      </c>
      <c r="B14" s="25">
        <f>Данные_отбора!B29</f>
        <v/>
      </c>
    </row>
    <row r="15">
      <c r="A15" s="9" t="inlineStr">
        <is>
          <t>Δm — масса отобр. пыли, г</t>
        </is>
      </c>
      <c r="B15" s="16">
        <f>Данные_отбора!B31-Данные_отбора!B30</f>
        <v/>
      </c>
    </row>
    <row r="16">
      <c r="A16" s="9" t="inlineStr">
        <is>
          <t>W_р — расход по ротаметру, л/мин</t>
        </is>
      </c>
      <c r="B16" s="25">
        <f>Данные_отбора!B32</f>
        <v/>
      </c>
    </row>
    <row r="17">
      <c r="A17" s="9" t="inlineStr">
        <is>
          <t>t_р — температура у ротаметра, °C</t>
        </is>
      </c>
      <c r="B17" s="25">
        <f>Данные_отбора!B16</f>
        <v/>
      </c>
    </row>
    <row r="18">
      <c r="A18" s="9" t="inlineStr">
        <is>
          <t>P_р — разрежение у ротаметра, кПа</t>
        </is>
      </c>
      <c r="B18" s="24">
        <f>Данные_отбора!B18</f>
        <v/>
      </c>
    </row>
    <row r="20">
      <c r="A20" s="2" t="inlineStr">
        <is>
          <t>3. Основные расчёты</t>
        </is>
      </c>
    </row>
    <row r="21">
      <c r="A21" s="9" t="inlineStr">
        <is>
          <t>Плотность газа при р.у. ρ_р, кг/м³</t>
        </is>
      </c>
      <c r="B21" s="16">
        <f>1.293*(B12*133.3+B10)/101325*273/(273+B11)</f>
        <v/>
      </c>
    </row>
    <row r="22">
      <c r="A22" s="9" t="inlineStr">
        <is>
          <t>Скорость газа W, м/с  =K_тр·√(2·P_д/ρ_р)</t>
        </is>
      </c>
      <c r="B22" s="23">
        <f>B5*SQRT(2*B9/B21)</f>
        <v/>
      </c>
    </row>
    <row r="23">
      <c r="A23" s="9" t="inlineStr">
        <is>
          <t>Объёмный расход при р.у. Q_р, м³/с  =S·W</t>
        </is>
      </c>
      <c r="B23" s="16">
        <f>B13*B22</f>
        <v/>
      </c>
    </row>
    <row r="24">
      <c r="A24" s="9" t="inlineStr">
        <is>
          <t>Объёмный расход при н.у. Q_нy, м³/с</t>
        </is>
      </c>
      <c r="B24" s="16">
        <f>B23*273*(B12*133.3+B10)/(760*133.3*(273+B11))</f>
        <v/>
      </c>
    </row>
    <row r="25">
      <c r="A25" s="9" t="inlineStr">
        <is>
          <t>Объём отобранного газа V_ну, дм³</t>
        </is>
      </c>
      <c r="B25" s="23">
        <f>B16*B14*(B18*1000+B12*133.3)*273/((273+B17)*760*133.3)</f>
        <v/>
      </c>
    </row>
    <row r="26">
      <c r="A26" s="9" t="inlineStr">
        <is>
          <t>Концентрация пыли Z, мг/м³  =Δm·10⁶/V_ну</t>
        </is>
      </c>
      <c r="B26" s="23">
        <f>B15*1000000/B25</f>
        <v/>
      </c>
    </row>
    <row r="27">
      <c r="A27" s="9" t="inlineStr">
        <is>
          <t>Массовый выброс пыли Ф, г/с  =Z·Q_нy/1000</t>
        </is>
      </c>
      <c r="B27" s="26">
        <f>B26*B24/1000</f>
        <v/>
      </c>
    </row>
    <row r="29">
      <c r="A29" s="2" t="inlineStr">
        <is>
          <t>4. Расчёт расширенной неопределённости (P = 0.95)</t>
        </is>
      </c>
    </row>
    <row r="30">
      <c r="A30" s="9" t="inlineStr">
        <is>
          <t>δP_д (ДМЦ-01М), %</t>
        </is>
      </c>
      <c r="B30" s="23">
        <f>VLOOKUP("ДМЦ-01М",СИ_Справочник!B13:C20,2,FALSE)</f>
        <v/>
      </c>
    </row>
    <row r="31">
      <c r="A31" s="9" t="inlineStr">
        <is>
          <t>δt_г (ТК-5.06), %</t>
        </is>
      </c>
      <c r="B31" s="23">
        <f>100*2/(273+B11)</f>
        <v/>
      </c>
    </row>
    <row r="32">
      <c r="A32" s="9" t="inlineStr">
        <is>
          <t>δБ (Метеоскоп-М), %</t>
        </is>
      </c>
      <c r="B32" s="23">
        <f>VLOOKUP("Метеоскоп-М",СИ_Справочник!B13:C20,2,FALSE)</f>
        <v/>
      </c>
    </row>
    <row r="33">
      <c r="A33" s="9" t="inlineStr">
        <is>
          <t>δP_р (ВП-63), %</t>
        </is>
      </c>
      <c r="B33" s="23">
        <f>VLOOKUP("ВП-63",СИ_Справочник!B13:C20,2,FALSE)</f>
        <v/>
      </c>
    </row>
    <row r="34">
      <c r="A34" s="9" t="inlineStr">
        <is>
          <t>δt_р (ТК-5.06), %</t>
        </is>
      </c>
      <c r="B34" s="23">
        <f>100*2/(273+B17)</f>
        <v/>
      </c>
    </row>
    <row r="35">
      <c r="A35" s="9" t="inlineStr">
        <is>
          <t>δm (весы GH-252), %</t>
        </is>
      </c>
      <c r="B35" s="23">
        <f>2*100*0.0001/B15</f>
        <v/>
      </c>
    </row>
    <row r="36">
      <c r="A36" s="9" t="inlineStr">
        <is>
          <t>δротаметр, %</t>
        </is>
      </c>
      <c r="B36" s="23">
        <f>VLOOKUP("Аппарат РО-6",СИ_Справочник!B13:C20,2,FALSE)</f>
        <v/>
      </c>
    </row>
    <row r="37">
      <c r="A37" s="9" t="inlineStr">
        <is>
          <t>δτ (СОС-пр), %</t>
        </is>
      </c>
      <c r="B37" s="23">
        <f>3*(1.7*0.2/(60*B14)+0.00075)*100</f>
        <v/>
      </c>
    </row>
    <row r="39">
      <c r="A39" s="9" t="inlineStr">
        <is>
          <t>δW (скорость), %</t>
        </is>
      </c>
      <c r="B39" s="23">
        <f>2*SQRT((B30/2)^2+(B31/2)^2+(B32/2)^2+(B6/2)^2+2^2)</f>
        <v/>
      </c>
    </row>
    <row r="40">
      <c r="A40" s="9" t="inlineStr">
        <is>
          <t>δQ_р, %</t>
        </is>
      </c>
      <c r="B40" s="23">
        <f>2*SQRT((B39/2)^2+1^2)</f>
        <v/>
      </c>
    </row>
    <row r="41">
      <c r="A41" s="9" t="inlineStr">
        <is>
          <t>δQ_нy, %</t>
        </is>
      </c>
      <c r="B41" s="23">
        <f>2*SQRT((B39/2)^2+1^2+(B32/2)^2+(B31/2)^2)</f>
        <v/>
      </c>
    </row>
    <row r="42">
      <c r="A42" s="9" t="inlineStr">
        <is>
          <t>δZ (концентрация пыли), %</t>
        </is>
      </c>
      <c r="B42" s="23">
        <f>2*SQRT((B35/2)^2+(B36/2)^2+(B37/2)^2+(B33/2)^2+(B34/2)^2)</f>
        <v/>
      </c>
    </row>
    <row r="44">
      <c r="A44" s="9" t="inlineStr">
        <is>
          <t>ΔP_д, Па  =P_д · δP_д/100</t>
        </is>
      </c>
      <c r="B44" s="24">
        <f>B9*B30/100</f>
        <v/>
      </c>
    </row>
    <row r="45">
      <c r="A45" s="9" t="inlineStr">
        <is>
          <t>ΔW, м/с</t>
        </is>
      </c>
      <c r="B45" s="23">
        <f>B22*B39/100</f>
        <v/>
      </c>
    </row>
    <row r="46">
      <c r="A46" s="9" t="inlineStr">
        <is>
          <t>ΔQ_р, м³/с</t>
        </is>
      </c>
      <c r="B46" s="16">
        <f>B23*B40/100</f>
        <v/>
      </c>
    </row>
    <row r="47">
      <c r="A47" s="9" t="inlineStr">
        <is>
          <t>ΔQ_нy, м³/с</t>
        </is>
      </c>
      <c r="B47" s="16">
        <f>B24*B41/100</f>
        <v/>
      </c>
    </row>
    <row r="48">
      <c r="A48" s="9" t="inlineStr">
        <is>
          <t>ΔZ, мг/м³</t>
        </is>
      </c>
      <c r="B48" s="23">
        <f>B26*B42/100</f>
        <v/>
      </c>
    </row>
  </sheetData>
  <mergeCells count="5">
    <mergeCell ref="A20:L20"/>
    <mergeCell ref="A29:L29"/>
    <mergeCell ref="A1:L1"/>
    <mergeCell ref="A8:L8"/>
    <mergeCell ref="A3: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0" customWidth="1" min="3" max="3"/>
    <col width="12" customWidth="1" min="4" max="4"/>
    <col width="18" customWidth="1" min="5" max="5"/>
    <col width="36" customWidth="1" min="6" max="6"/>
  </cols>
  <sheetData>
    <row r="1" ht="24" customHeight="1">
      <c r="A1" s="1" t="inlineStr">
        <is>
          <t>Результаты измерений — готовы к переносу в протокол</t>
        </is>
      </c>
    </row>
    <row r="3">
      <c r="A3" s="13" t="inlineStr">
        <is>
          <t>Протокол</t>
        </is>
      </c>
      <c r="C3" s="9" t="inlineStr">
        <is>
          <t>№ 001(ПВ)-26 демо от 20.04.2026</t>
        </is>
      </c>
    </row>
    <row r="4">
      <c r="A4" s="13" t="inlineStr">
        <is>
          <t>Заказчик</t>
        </is>
      </c>
      <c r="C4" s="9" t="inlineStr">
        <is>
          <t>АО «Пример Инжиниринг» (демо)</t>
        </is>
      </c>
    </row>
    <row r="5">
      <c r="A5" s="13" t="inlineStr">
        <is>
          <t>Объект</t>
        </is>
      </c>
      <c r="C5" s="9" t="inlineStr">
        <is>
          <t>ИЗАВ 0001, труба сушильной печи №1</t>
        </is>
      </c>
    </row>
    <row r="6">
      <c r="A6" s="13" t="inlineStr">
        <is>
          <t>Договор</t>
        </is>
      </c>
      <c r="C6" s="9" t="inlineStr">
        <is>
          <t>№ 01/DEMO/2026 от 01.03.2026</t>
        </is>
      </c>
    </row>
    <row r="7">
      <c r="A7" s="13" t="inlineStr">
        <is>
          <t>Акт отбора</t>
        </is>
      </c>
      <c r="C7" s="9" t="inlineStr">
        <is>
          <t>№ 001(ПВ)-26 от 20.04.2026</t>
        </is>
      </c>
    </row>
    <row r="8">
      <c r="A8" s="13" t="inlineStr">
        <is>
          <t>Пробы</t>
        </is>
      </c>
      <c r="C8" s="9" t="inlineStr">
        <is>
          <t>0001пв — 0006пв</t>
        </is>
      </c>
    </row>
    <row r="10">
      <c r="A10" s="2" t="inlineStr">
        <is>
          <t>Таблица №1 — Результаты определяемых показателей</t>
        </is>
      </c>
    </row>
    <row r="11">
      <c r="A11" s="3" t="inlineStr">
        <is>
          <t>№</t>
        </is>
      </c>
      <c r="B11" s="3" t="inlineStr">
        <is>
          <t>Определяемый показатель</t>
        </is>
      </c>
      <c r="C11" s="3" t="inlineStr">
        <is>
          <t>Ед. изм.</t>
        </is>
      </c>
      <c r="D11" s="3" t="inlineStr">
        <is>
          <t>№ пробы</t>
        </is>
      </c>
      <c r="E11" s="3" t="inlineStr">
        <is>
          <t>Результат ± Δ (P=0.95)</t>
        </is>
      </c>
      <c r="F11" s="3" t="inlineStr">
        <is>
          <t>Методика</t>
        </is>
      </c>
    </row>
    <row r="12">
      <c r="A12" s="27" t="n">
        <v>1</v>
      </c>
      <c r="B12" s="9" t="inlineStr">
        <is>
          <t>Атмосферное давление</t>
        </is>
      </c>
      <c r="C12" s="27" t="inlineStr">
        <is>
          <t>кПа</t>
        </is>
      </c>
      <c r="D12" s="27" t="inlineStr">
        <is>
          <t>0001пв</t>
        </is>
      </c>
      <c r="E12" s="28">
        <f>ROUND(Данные_отбора!B15*101.325/760,2)&amp;" ± "&amp;0.13</f>
        <v/>
      </c>
      <c r="F12" s="29" t="inlineStr">
        <is>
          <t>Метеоскоп-М · ТУ 4311-001-70203816-07</t>
        </is>
      </c>
    </row>
    <row r="13">
      <c r="A13" s="27" t="n">
        <v>2</v>
      </c>
      <c r="B13" s="9" t="inlineStr">
        <is>
          <t>Температура потока</t>
        </is>
      </c>
      <c r="C13" s="27" t="inlineStr">
        <is>
          <t>°C</t>
        </is>
      </c>
      <c r="D13" s="27" t="inlineStr">
        <is>
          <t>0002пв</t>
        </is>
      </c>
      <c r="E13" s="28">
        <f>ROUND(Расчёт!B11,1)&amp;" ± "&amp;ROUND(Расчёт!B11*Расчёт!B31/100,1)</f>
        <v/>
      </c>
      <c r="F13" s="29" t="inlineStr">
        <is>
          <t>ТК-5.06 · ГОСТ 17.2.4.07-90</t>
        </is>
      </c>
    </row>
    <row r="14">
      <c r="A14" s="27" t="n">
        <v>3</v>
      </c>
      <c r="B14" s="9" t="inlineStr">
        <is>
          <t>Разрежение в газоходе</t>
        </is>
      </c>
      <c r="C14" s="27" t="inlineStr">
        <is>
          <t>кПа</t>
        </is>
      </c>
      <c r="D14" s="27" t="inlineStr">
        <is>
          <t>0003пв</t>
        </is>
      </c>
      <c r="E14" s="28">
        <f>ROUND(Расчёт!B10/1000,4)&amp;" ± "&amp;ROUND(Расчёт!B10/1000*1.5/100,4)</f>
        <v/>
      </c>
      <c r="F14" s="29" t="inlineStr">
        <is>
          <t>ДМЦ-01М · ГОСТ 17.2.4.07-90</t>
        </is>
      </c>
    </row>
    <row r="15">
      <c r="A15" s="27" t="n">
        <v>4</v>
      </c>
      <c r="B15" s="9" t="inlineStr">
        <is>
          <t>Скорость потока</t>
        </is>
      </c>
      <c r="C15" s="27" t="inlineStr">
        <is>
          <t>м/с</t>
        </is>
      </c>
      <c r="D15" s="27" t="inlineStr">
        <is>
          <t>0004пв</t>
        </is>
      </c>
      <c r="E15" s="28">
        <f>ROUND(Расчёт!B22,2)&amp;" ± "&amp;ROUND(Расчёт!B45,2)</f>
        <v/>
      </c>
      <c r="F15" s="29" t="inlineStr">
        <is>
          <t>ДМЦ-01М · ГОСТ 17.2.4.06-90</t>
        </is>
      </c>
    </row>
    <row r="16">
      <c r="A16" s="27" t="n">
        <v>5</v>
      </c>
      <c r="B16" s="9" t="inlineStr">
        <is>
          <t>Объёмный расход (р.у.)</t>
        </is>
      </c>
      <c r="C16" s="27" t="inlineStr">
        <is>
          <t>м³/с</t>
        </is>
      </c>
      <c r="D16" s="27" t="inlineStr">
        <is>
          <t>0005пв</t>
        </is>
      </c>
      <c r="E16" s="28">
        <f>ROUND(Расчёт!B23,3)&amp;" ± "&amp;ROUND(Расчёт!B46,3)</f>
        <v/>
      </c>
      <c r="F16" s="29" t="inlineStr">
        <is>
          <t>Расчёт по ГОСТ 17.2.4.06-90</t>
        </is>
      </c>
    </row>
    <row r="17">
      <c r="A17" s="27" t="inlineStr"/>
      <c r="B17" s="9" t="inlineStr">
        <is>
          <t>Объёмный расход (н.у.)</t>
        </is>
      </c>
      <c r="C17" s="27" t="inlineStr">
        <is>
          <t>м³/с</t>
        </is>
      </c>
      <c r="D17" s="27" t="inlineStr"/>
      <c r="E17" s="28">
        <f>ROUND(Расчёт!B24,3)&amp;" ± "&amp;ROUND(Расчёт!B47,3)</f>
        <v/>
      </c>
      <c r="F17" s="29" t="inlineStr">
        <is>
          <t>Расчёт, приведено к н.у.</t>
        </is>
      </c>
    </row>
    <row r="18">
      <c r="A18" s="27" t="n">
        <v>6</v>
      </c>
      <c r="B18" s="9" t="inlineStr">
        <is>
          <t>Запылённость (взвешенные частицы)</t>
        </is>
      </c>
      <c r="C18" s="27" t="inlineStr">
        <is>
          <t>мг/м³</t>
        </is>
      </c>
      <c r="D18" s="27" t="inlineStr">
        <is>
          <t>0006пв</t>
        </is>
      </c>
      <c r="E18" s="28">
        <f>ROUND(Расчёт!B26,1)&amp;" ± "&amp;ROUND(Расчёт!B48,1)</f>
        <v/>
      </c>
      <c r="F18" s="29" t="inlineStr">
        <is>
          <t>ГОСТ 33007-2014 · гравиметрия</t>
        </is>
      </c>
    </row>
    <row r="19">
      <c r="A19" s="27" t="inlineStr"/>
      <c r="B19" s="9" t="inlineStr">
        <is>
          <t>Массовый выброс пыли</t>
        </is>
      </c>
      <c r="C19" s="27" t="inlineStr">
        <is>
          <t>г/с</t>
        </is>
      </c>
      <c r="D19" s="27" t="inlineStr">
        <is>
          <t>расчёт</t>
        </is>
      </c>
      <c r="E19" s="28">
        <f>ROUND(Расчёт!B27,4)</f>
        <v/>
      </c>
      <c r="F19" s="29" t="inlineStr">
        <is>
          <t>Расчёт по ГОСТ 33007-2014</t>
        </is>
      </c>
    </row>
    <row r="20">
      <c r="A20" s="27" t="n">
        <v>7</v>
      </c>
      <c r="B20" s="9" t="inlineStr">
        <is>
          <t>Массовая концентрация CO</t>
        </is>
      </c>
      <c r="C20" s="27" t="inlineStr">
        <is>
          <t>мг/м³</t>
        </is>
      </c>
      <c r="D20" s="27" t="inlineStr">
        <is>
          <t>0001пв</t>
        </is>
      </c>
      <c r="E20" s="28">
        <f>Данные_отбора!B35&amp;" ± "&amp;ROUND(Данные_отбора!B35*0.1,1)</f>
        <v/>
      </c>
      <c r="F20" s="29" t="inlineStr">
        <is>
          <t>Полар Универсал Ex-T</t>
        </is>
      </c>
    </row>
    <row r="21">
      <c r="A21" s="27" t="n">
        <v>8</v>
      </c>
      <c r="B21" s="9" t="inlineStr">
        <is>
          <t>Массовая концентрация NOx (в пересчёте на NO₂)</t>
        </is>
      </c>
      <c r="C21" s="27" t="inlineStr">
        <is>
          <t>мг/м³</t>
        </is>
      </c>
      <c r="D21" s="27" t="inlineStr">
        <is>
          <t>0002пв</t>
        </is>
      </c>
      <c r="E21" s="28">
        <f>Данные_отбора!B36&amp;" ± "&amp;ROUND(Данные_отбора!B36*0.12,1)</f>
        <v/>
      </c>
      <c r="F21" s="29" t="inlineStr">
        <is>
          <t>Полар Универсал Ex-T</t>
        </is>
      </c>
    </row>
    <row r="22">
      <c r="A22" s="27" t="n">
        <v>9</v>
      </c>
      <c r="B22" s="9" t="inlineStr">
        <is>
          <t>Массовая концентрация NO</t>
        </is>
      </c>
      <c r="C22" s="27" t="inlineStr">
        <is>
          <t>мг/м³</t>
        </is>
      </c>
      <c r="D22" s="27" t="inlineStr">
        <is>
          <t>0003пв</t>
        </is>
      </c>
      <c r="E22" s="28">
        <f>Данные_отбора!B37&amp;" ± "&amp;ROUND(Данные_отбора!B37*0.1,1)</f>
        <v/>
      </c>
      <c r="F22" s="29" t="inlineStr">
        <is>
          <t>Полар Универсал Ex-T</t>
        </is>
      </c>
    </row>
    <row r="23">
      <c r="A23" s="27" t="n">
        <v>10</v>
      </c>
      <c r="B23" s="9" t="inlineStr">
        <is>
          <t>Массовая концентрация NO₂</t>
        </is>
      </c>
      <c r="C23" s="27" t="inlineStr">
        <is>
          <t>мг/м³</t>
        </is>
      </c>
      <c r="D23" s="27" t="inlineStr">
        <is>
          <t>0004пв</t>
        </is>
      </c>
      <c r="E23" s="28">
        <f>Данные_отбора!B38&amp;" ± "&amp;ROUND(Данные_отбора!B38*0.2,1)</f>
        <v/>
      </c>
      <c r="F23" s="29" t="inlineStr">
        <is>
          <t>Полар Универсал Ex-T</t>
        </is>
      </c>
    </row>
    <row r="24">
      <c r="A24" s="27" t="n">
        <v>11</v>
      </c>
      <c r="B24" s="9" t="inlineStr">
        <is>
          <t>Массовая концентрация SO₂</t>
        </is>
      </c>
      <c r="C24" s="27" t="inlineStr">
        <is>
          <t>мг/м³</t>
        </is>
      </c>
      <c r="D24" s="27" t="inlineStr">
        <is>
          <t>0005пв</t>
        </is>
      </c>
      <c r="E24" s="28">
        <f>Данные_отбора!B39&amp;" ± "&amp;ROUND(Данные_отбора!B39*0.15,1)</f>
        <v/>
      </c>
      <c r="F24" s="29" t="inlineStr">
        <is>
          <t>Полар Универсал Ex-T</t>
        </is>
      </c>
    </row>
    <row r="26">
      <c r="A26" s="29" t="inlineStr">
        <is>
          <t>Примечание: все значения в столбце «Результат ± Δ» рассчитаны листом «Расчёт». Измените любой вход на листе «Данные_отбора» — все результаты пересчитаются автоматически.</t>
        </is>
      </c>
    </row>
  </sheetData>
  <mergeCells count="15">
    <mergeCell ref="A4:B4"/>
    <mergeCell ref="A10:F10"/>
    <mergeCell ref="C3:F3"/>
    <mergeCell ref="A7:B7"/>
    <mergeCell ref="C8:F8"/>
    <mergeCell ref="C4:F4"/>
    <mergeCell ref="A1:F1"/>
    <mergeCell ref="A5:B5"/>
    <mergeCell ref="C6:F6"/>
    <mergeCell ref="C7:F7"/>
    <mergeCell ref="A26:F26"/>
    <mergeCell ref="C5:F5"/>
    <mergeCell ref="A8:B8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2026-04-22T05:50:27Z</dcterms:created>
  <dcterms:modified xmlns:dcterms="http://purl.org/dc/terms/" xmlns:xsi="http://www.w3.org/2001/XMLSchema-instance" xsi:type="dcterms:W3CDTF">2026-04-22T05:50:27Z</dcterms:modified>
</cp:coreProperties>
</file>